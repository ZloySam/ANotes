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  <sheet xmlns:r="http://schemas.openxmlformats.org/officeDocument/2006/relationships" name="Labhouse finding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164" fontId="4" fillId="0" borderId="0" pivotButton="0" quotePrefix="0" xfId="0"/>
    <xf numFmtId="9" fontId="4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ay.google.com/store/apps/details?id=io.labhouse.audioapp" TargetMode="External" Id="rId1"/><Relationship Type="http://schemas.openxmlformats.org/officeDocument/2006/relationships/hyperlink" Target="https://play.google.com/store/apps/details?id=com.app.voicenotes" TargetMode="External" Id="rId2"/><Relationship Type="http://schemas.openxmlformats.org/officeDocument/2006/relationships/hyperlink" Target="https://play.google.com/store/apps/details?id=com.pixsterstudio.transcribe" TargetMode="External" Id="rId3"/><Relationship Type="http://schemas.openxmlformats.org/officeDocument/2006/relationships/hyperlink" Target="https://play.google.com/store/apps/details?id=com.labs.audionotes" TargetMode="External" Id="rId4"/><Relationship Type="http://schemas.openxmlformats.org/officeDocument/2006/relationships/hyperlink" Target="https://play.google.com/store/apps/details?id=com.lazycattle.transcribe" TargetMode="External" Id="rId5"/><Relationship Type="http://schemas.openxmlformats.org/officeDocument/2006/relationships/hyperlink" Target="https://play.google.com/store/apps/details?id=com.signalmaster.asr" TargetMode="External" Id="rId6"/><Relationship Type="http://schemas.openxmlformats.org/officeDocument/2006/relationships/hyperlink" Target="https://f-droid.org/packages/com.module.notelycompose.android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0" customWidth="1" min="2" max="2"/>
    <col width="34" customWidth="1" min="3" max="3"/>
    <col width="10" customWidth="1" min="4" max="4"/>
    <col width="12" customWidth="1" min="5" max="5"/>
    <col width="34" customWidth="1" min="6" max="6"/>
    <col width="34" customWidth="1" min="7" max="7"/>
    <col width="26" customWidth="1" min="8" max="8"/>
    <col width="60" customWidth="1" min="9" max="9"/>
    <col width="36" customWidth="1" min="10" max="10"/>
    <col width="60" customWidth="1" min="11" max="11"/>
    <col width="16" customWidth="1" min="12" max="12"/>
    <col width="50" customWidth="1" min="13" max="13"/>
    <col width="70" customWidth="1" min="14" max="14"/>
  </cols>
  <sheetData>
    <row r="1">
      <c r="A1" s="1" t="inlineStr">
        <is>
          <t>App</t>
        </is>
      </c>
      <c r="B1" s="1" t="inlineStr">
        <is>
          <t>Developer</t>
        </is>
      </c>
      <c r="C1" s="1" t="inlineStr">
        <is>
          <t>Price (USD)</t>
        </is>
      </c>
      <c r="D1" s="1" t="inlineStr">
        <is>
          <t>iOS rating</t>
        </is>
      </c>
      <c r="E1" s="1" t="inlineStr">
        <is>
          <t>iOS reviews</t>
        </is>
      </c>
      <c r="F1" s="1" t="inlineStr">
        <is>
          <t>Android installs</t>
        </is>
      </c>
      <c r="G1" s="1" t="inlineStr">
        <is>
          <t>Android rating / reviews</t>
        </is>
      </c>
      <c r="H1" s="1" t="inlineStr">
        <is>
          <t>Platforms</t>
        </is>
      </c>
      <c r="I1" s="1" t="inlineStr">
        <is>
          <t>Android link</t>
        </is>
      </c>
      <c r="J1" s="1" t="inlineStr">
        <is>
          <t>Data status</t>
        </is>
      </c>
      <c r="K1" s="1" t="inlineStr">
        <is>
          <t>Source / notes</t>
        </is>
      </c>
      <c r="L1" s="10" t="inlineStr">
        <is>
          <t>ANotes similarity /10 (my judgment)</t>
        </is>
      </c>
      <c r="M1" s="10" t="inlineStr">
        <is>
          <t>Why</t>
        </is>
      </c>
      <c r="N1" s="10" t="inlineStr">
        <is>
          <t>Permissions / network notes (unverified)</t>
        </is>
      </c>
    </row>
    <row r="2">
      <c r="A2" s="2" t="inlineStr">
        <is>
          <t>Summary: AI Note Taker (Labhouse)</t>
        </is>
      </c>
      <c r="B2" s="2" t="inlineStr">
        <is>
          <t>Labhouse Mobile S.L.</t>
        </is>
      </c>
      <c r="C2" s="2" t="inlineStr">
        <is>
          <t>$5.99–8.99/wk; $17.99/mo; $79.99–99.99/yr</t>
        </is>
      </c>
      <c r="D2" s="2" t="n">
        <v>4.7</v>
      </c>
      <c r="E2" s="2" t="inlineStr">
        <is>
          <t>31.9K</t>
        </is>
      </c>
      <c r="F2" s="2" t="inlineStr">
        <is>
          <t>1M+ (Google Play bucket per search); AppBrain ~1.5M est.; one tracker ~2.3M (unverified)</t>
        </is>
      </c>
      <c r="G2" s="2" t="inlineStr">
        <is>
          <t>~4.6–4.7★; reviews 1.2K vs 108K (trackers conflict)</t>
        </is>
      </c>
      <c r="H2" s="2" t="inlineStr">
        <is>
          <t>iOS, Android</t>
        </is>
      </c>
      <c r="I2" s="3" t="inlineStr">
        <is>
          <t>https://play.google.com/store/apps/details?id=io.labhouse.audioapp</t>
        </is>
      </c>
      <c r="J2" s="2" t="inlineStr">
        <is>
          <t>iOS/price: sourced (prior). Android: tracker data, conflicting</t>
        </is>
      </c>
      <c r="K2" s="2" t="inlineStr">
        <is>
          <t>Package ID confirmed via Chrome-Stats: https://chrome-stats.com/d/io.labhouse.audioapp ; Play page itself not opened | Play: https://play.google.com/store/apps/details?id=io.labhouse.audioapp ; AppBrain: https://www.appbrain.com/app/summary-ai-note-taker/io.labhouse.audioapp</t>
        </is>
      </c>
      <c r="L2" s="2" t="n">
        <v>4</v>
      </c>
      <c r="M2" s="2" t="inlineStr">
        <is>
          <t>Voice to transcript to summary on Android; cloud, subscription</t>
        </is>
      </c>
    </row>
    <row r="3">
      <c r="A3" s="2" t="inlineStr">
        <is>
          <t>Otter</t>
        </is>
      </c>
      <c r="B3" s="2" t="inlineStr">
        <is>
          <t>Otter.ai</t>
        </is>
      </c>
      <c r="C3" s="2" t="inlineStr">
        <is>
          <t>$16.99/mo; $99.99/yr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5M+</t>
        </is>
      </c>
      <c r="G3" s="2" t="inlineStr">
        <is>
          <t>n/a</t>
        </is>
      </c>
      <c r="H3" s="2" t="inlineStr">
        <is>
          <t>iOS, Android, web</t>
        </is>
      </c>
      <c r="I3" s="2" t="inlineStr">
        <is>
          <t>n/a</t>
        </is>
      </c>
      <c r="J3" s="2" t="inlineStr">
        <is>
          <t>Prior research; Play link not verified</t>
        </is>
      </c>
      <c r="K3" s="2" t="inlineStr">
        <is>
          <t>Prior research (user-supplied)</t>
        </is>
      </c>
      <c r="L3" s="2" t="n">
        <v>3</v>
      </c>
      <c r="M3" s="2" t="inlineStr">
        <is>
          <t>Cloud meeting transcription</t>
        </is>
      </c>
    </row>
    <row r="4">
      <c r="A4" s="2" t="inlineStr">
        <is>
          <t>Plaud: AI Note Taker</t>
        </is>
      </c>
      <c r="B4" s="2" t="inlineStr">
        <is>
          <t>Plaud</t>
        </is>
      </c>
      <c r="C4" s="2" t="inlineStr">
        <is>
          <t>$17.99–29.99/mo; $99.99–239.99/yr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500K+ (third-party mirror)</t>
        </is>
      </c>
      <c r="G4" s="2" t="inlineStr">
        <is>
          <t>~4.7★ / ~9.6K (mirror; another site says 4.9 / 26.8K)</t>
        </is>
      </c>
      <c r="H4" s="2" t="inlineStr">
        <is>
          <t>iOS, Android; tied to hardware recorder</t>
        </is>
      </c>
      <c r="I4" s="2" t="inlineStr">
        <is>
          <t>n/a</t>
        </is>
      </c>
      <c r="J4" s="2" t="inlineStr">
        <is>
          <t>Android figures from mirror, unverified; Play link not verified</t>
        </is>
      </c>
      <c r="K4" s="2" t="inlineStr">
        <is>
          <t>https://screensdesign.com/apps/plaud-ai-voice-recorder/</t>
        </is>
      </c>
      <c r="L4" s="2" t="inlineStr">
        <is>
          <t>not scored (no info)</t>
        </is>
      </c>
      <c r="M4" s="2" t="inlineStr"/>
    </row>
    <row r="5">
      <c r="A5" s="2" t="inlineStr">
        <is>
          <t>Notta</t>
        </is>
      </c>
      <c r="B5" s="2" t="inlineStr">
        <is>
          <t>Notta</t>
        </is>
      </c>
      <c r="C5" s="2" t="inlineStr">
        <is>
          <t>$14.99/mo; ~$99–115/yr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~2.6M (unverified)</t>
        </is>
      </c>
      <c r="G5" s="2" t="inlineStr">
        <is>
          <t>n/a</t>
        </is>
      </c>
      <c r="H5" s="2" t="inlineStr">
        <is>
          <t>iOS, Android</t>
        </is>
      </c>
      <c r="I5" s="2" t="inlineStr">
        <is>
          <t>n/a</t>
        </is>
      </c>
      <c r="J5" s="2" t="inlineStr">
        <is>
          <t>Estimated/unverified; Play link not verified</t>
        </is>
      </c>
      <c r="K5" s="2" t="inlineStr">
        <is>
          <t>Prior research (user-supplied)</t>
        </is>
      </c>
      <c r="L5" s="2" t="n">
        <v>3</v>
      </c>
      <c r="M5" s="2" t="inlineStr">
        <is>
          <t>Cloud meeting transcription</t>
        </is>
      </c>
    </row>
    <row r="6">
      <c r="A6" s="2" t="inlineStr">
        <is>
          <t>Wave AI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100K+</t>
        </is>
      </c>
      <c r="G6" s="2" t="inlineStr">
        <is>
          <t>n/a</t>
        </is>
      </c>
      <c r="H6" s="2" t="inlineStr">
        <is>
          <t>Android (iOS unconfirmed)</t>
        </is>
      </c>
      <c r="I6" s="2" t="inlineStr">
        <is>
          <t>n/a</t>
        </is>
      </c>
      <c r="J6" s="2" t="inlineStr">
        <is>
          <t>Prior research; Play link not verified</t>
        </is>
      </c>
      <c r="K6" s="2" t="inlineStr">
        <is>
          <t>Prior research (user-supplied)</t>
        </is>
      </c>
      <c r="L6" s="2" t="inlineStr">
        <is>
          <t>not scored (no info)</t>
        </is>
      </c>
      <c r="M6" s="2" t="inlineStr"/>
    </row>
    <row r="7">
      <c r="A7" s="2" t="inlineStr">
        <is>
          <t>Voicenotes</t>
        </is>
      </c>
      <c r="B7" s="2" t="inlineStr">
        <is>
          <t>n/a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100K+ (AppBrain/Play bucket); ~190K lifetime est.</t>
        </is>
      </c>
      <c r="G7" s="2" t="inlineStr">
        <is>
          <t>~3.87★ / ~2.5K (AppBrain)</t>
        </is>
      </c>
      <c r="H7" s="2" t="inlineStr">
        <is>
          <t>Android, iOS (cloud-based per competitor blog)</t>
        </is>
      </c>
      <c r="I7" s="3" t="inlineStr">
        <is>
          <t>https://play.google.com/store/apps/details?id=com.app.voicenotes</t>
        </is>
      </c>
      <c r="J7" s="2" t="inlineStr">
        <is>
          <t>Tracker data (AppBrain, Chrome-Stats); package ID from trackers, Play page not opened</t>
        </is>
      </c>
      <c r="K7" s="2" t="inlineStr">
        <is>
          <t>https://www.appbrain.com/app/voicenotes/com.app.voicenotes ; developer Coping Hard Inc.</t>
        </is>
      </c>
      <c r="L7" s="2" t="n">
        <v>4</v>
      </c>
      <c r="M7" s="2" t="inlineStr">
        <is>
          <t>Voice-first notes, Android; cloud, subscription</t>
        </is>
      </c>
    </row>
    <row r="8">
      <c r="A8" s="2" t="inlineStr">
        <is>
          <t>Minutes: AI Meeting Note Taker</t>
        </is>
      </c>
      <c r="B8" s="2" t="inlineStr">
        <is>
          <t>n/a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100K–1M</t>
        </is>
      </c>
      <c r="G8" s="2" t="inlineStr">
        <is>
          <t>n/a</t>
        </is>
      </c>
      <c r="H8" s="2" t="inlineStr">
        <is>
          <t>Android (iOS unconfirmed)</t>
        </is>
      </c>
      <c r="I8" s="2" t="inlineStr">
        <is>
          <t>n/a</t>
        </is>
      </c>
      <c r="J8" s="2" t="inlineStr">
        <is>
          <t>Prior research; Play link not verified</t>
        </is>
      </c>
      <c r="K8" s="2" t="inlineStr">
        <is>
          <t>Prior research (user-supplied)</t>
        </is>
      </c>
      <c r="L8" s="2" t="inlineStr">
        <is>
          <t>not scored (no info)</t>
        </is>
      </c>
      <c r="M8" s="2" t="inlineStr"/>
    </row>
    <row r="9">
      <c r="A9" s="2" t="inlineStr">
        <is>
          <t>Notee</t>
        </is>
      </c>
      <c r="B9" s="2" t="inlineStr">
        <is>
          <t>n/a</t>
        </is>
      </c>
      <c r="C9" s="2" t="inlineStr">
        <is>
          <t>n/a</t>
        </is>
      </c>
      <c r="D9" s="2" t="inlineStr">
        <is>
          <t>n/a</t>
        </is>
      </c>
      <c r="E9" s="2" t="inlineStr">
        <is>
          <t>~3.5K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Prior research</t>
        </is>
      </c>
      <c r="K9" s="2" t="inlineStr">
        <is>
          <t>Prior research (user-supplied)</t>
        </is>
      </c>
      <c r="L9" s="2" t="inlineStr">
        <is>
          <t>not scored (no info)</t>
        </is>
      </c>
      <c r="M9" s="2" t="inlineStr"/>
    </row>
    <row r="10">
      <c r="A10" s="2" t="inlineStr">
        <is>
          <t>Cue</t>
        </is>
      </c>
      <c r="B10" s="2" t="inlineStr">
        <is>
          <t>n/a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No data</t>
        </is>
      </c>
      <c r="K10" s="2" t="inlineStr">
        <is>
          <t>Prior research (user-supplied)</t>
        </is>
      </c>
      <c r="L10" s="2" t="inlineStr">
        <is>
          <t>not scored (no info)</t>
        </is>
      </c>
      <c r="M10" s="2" t="inlineStr"/>
    </row>
    <row r="11">
      <c r="A11" s="2" t="inlineStr">
        <is>
          <t>HyNote</t>
        </is>
      </c>
      <c r="B11" s="2" t="inlineStr">
        <is>
          <t>n/a</t>
        </is>
      </c>
      <c r="C11" s="2" t="inlineStr">
        <is>
          <t>n/a</t>
        </is>
      </c>
      <c r="D11" s="2" t="inlineStr">
        <is>
          <t>n/a</t>
        </is>
      </c>
      <c r="E11" s="2" t="inlineStr">
        <is>
          <t>n/a</t>
        </is>
      </c>
      <c r="F11" s="2" t="inlineStr">
        <is>
          <t>n/a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No data</t>
        </is>
      </c>
      <c r="K11" s="2" t="inlineStr">
        <is>
          <t>Prior research (user-supplied)</t>
        </is>
      </c>
      <c r="L11" s="2" t="inlineStr">
        <is>
          <t>not scored (no info)</t>
        </is>
      </c>
      <c r="M11" s="2" t="inlineStr"/>
    </row>
    <row r="12">
      <c r="A12" s="2" t="inlineStr">
        <is>
          <t>NoteX</t>
        </is>
      </c>
      <c r="B12" s="2" t="inlineStr">
        <is>
          <t>n/a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No data</t>
        </is>
      </c>
      <c r="K12" s="2" t="inlineStr">
        <is>
          <t>Prior research (user-supplied)</t>
        </is>
      </c>
      <c r="L12" s="2" t="inlineStr">
        <is>
          <t>not scored (no info)</t>
        </is>
      </c>
      <c r="M12" s="2" t="inlineStr"/>
    </row>
    <row r="13">
      <c r="A13" s="2" t="inlineStr">
        <is>
          <t>Weekly-subscription clones (various)</t>
        </is>
      </c>
      <c r="B13" s="2" t="inlineStr">
        <is>
          <t>n/a</t>
        </is>
      </c>
      <c r="C13" s="2" t="inlineStr">
        <is>
          <t>$6.99–9.99/wk</t>
        </is>
      </c>
      <c r="D13" s="2" t="inlineStr">
        <is>
          <t>n/a</t>
        </is>
      </c>
      <c r="E13" s="2" t="inlineStr">
        <is>
          <t>n/a</t>
        </is>
      </c>
      <c r="F13" s="2" t="inlineStr">
        <is>
          <t>n/a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Prior research</t>
        </is>
      </c>
      <c r="K13" s="2" t="inlineStr">
        <is>
          <t>Prior research (user-supplied)</t>
        </is>
      </c>
      <c r="L13" s="2" t="inlineStr">
        <is>
          <t>not scored (no info)</t>
        </is>
      </c>
      <c r="M13" s="2" t="inlineStr"/>
    </row>
    <row r="14">
      <c r="A14" s="2" t="inlineStr">
        <is>
          <t>Smart Noter - AI Note Taker</t>
        </is>
      </c>
      <c r="B14" s="2" t="inlineStr">
        <is>
          <t>Deep Flow Apps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5M+</t>
        </is>
      </c>
      <c r="G14" s="2" t="inlineStr">
        <is>
          <t>n/a</t>
        </is>
      </c>
      <c r="H14" s="2" t="inlineStr">
        <is>
          <t>Android</t>
        </is>
      </c>
      <c r="I14" s="2" t="inlineStr">
        <is>
          <t>n/a</t>
        </is>
      </c>
      <c r="J14" s="2" t="inlineStr">
        <is>
          <t>Sourced (AppBrain similar-apps list); package ID not found</t>
        </is>
      </c>
      <c r="K14" s="2" t="inlineStr">
        <is>
          <t>https://www.appbrain.com/app/voice-recorder-ai-transcribe/kr.co.neoandroid.recoder</t>
        </is>
      </c>
      <c r="L14" s="2" t="inlineStr">
        <is>
          <t>not scored (no info)</t>
        </is>
      </c>
      <c r="M14" s="2" t="inlineStr"/>
    </row>
    <row r="15">
      <c r="A15" s="2" t="inlineStr">
        <is>
          <t>MeetGeek: AI Note Taker</t>
        </is>
      </c>
      <c r="B15" s="2" t="inlineStr">
        <is>
          <t>MeetGeek</t>
        </is>
      </c>
      <c r="C15" s="2" t="inlineStr">
        <is>
          <t>n/a</t>
        </is>
      </c>
      <c r="D15" s="2" t="inlineStr">
        <is>
          <t>n/a</t>
        </is>
      </c>
      <c r="E15" s="2" t="inlineStr">
        <is>
          <t>n/a</t>
        </is>
      </c>
      <c r="F15" s="2" t="inlineStr">
        <is>
          <t>100K+</t>
        </is>
      </c>
      <c r="G15" s="2" t="inlineStr">
        <is>
          <t>n/a</t>
        </is>
      </c>
      <c r="H15" s="2" t="inlineStr">
        <is>
          <t>Android</t>
        </is>
      </c>
      <c r="I15" s="2" t="inlineStr">
        <is>
          <t>n/a</t>
        </is>
      </c>
      <c r="J15" s="2" t="inlineStr">
        <is>
          <t>Sourced (AppBrain)</t>
        </is>
      </c>
      <c r="K15" s="2" t="inlineStr">
        <is>
          <t>https://www.appbrain.com/dev/MeetGeek%3A+AI+Note+Taker.+Transcribe+Speech+to+Text/</t>
        </is>
      </c>
      <c r="L15" s="2" t="inlineStr">
        <is>
          <t>not scored (no info)</t>
        </is>
      </c>
      <c r="M15" s="2" t="inlineStr"/>
    </row>
    <row r="16">
      <c r="A16" s="2" t="inlineStr">
        <is>
          <t>Transcribe Audio To Text</t>
        </is>
      </c>
      <c r="B16" s="2" t="inlineStr">
        <is>
          <t>DKTLabs</t>
        </is>
      </c>
      <c r="C16" s="2" t="inlineStr">
        <is>
          <t>n/a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500K+</t>
        </is>
      </c>
      <c r="G16" s="2" t="inlineStr">
        <is>
          <t>n/a</t>
        </is>
      </c>
      <c r="H16" s="2" t="inlineStr">
        <is>
          <t>Android</t>
        </is>
      </c>
      <c r="I16" s="2" t="inlineStr">
        <is>
          <t>n/a</t>
        </is>
      </c>
      <c r="J16" s="2" t="inlineStr">
        <is>
          <t>Sourced (AppBrain similar-apps list)</t>
        </is>
      </c>
      <c r="K16" s="2" t="inlineStr">
        <is>
          <t>https://www.appbrain.com/app/voice-recorder-ai-transcribe/kr.co.neoandroid.recoder</t>
        </is>
      </c>
      <c r="L16" s="2" t="inlineStr">
        <is>
          <t>not scored (no info)</t>
        </is>
      </c>
      <c r="M16" s="2" t="inlineStr"/>
    </row>
    <row r="17">
      <c r="A17" s="2" t="inlineStr">
        <is>
          <t>AI Transcript: Audio to Text</t>
        </is>
      </c>
      <c r="B17" s="2" t="inlineStr">
        <is>
          <t>Appzys</t>
        </is>
      </c>
      <c r="C17" s="2" t="inlineStr">
        <is>
          <t>n/a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10K+</t>
        </is>
      </c>
      <c r="G17" s="2" t="inlineStr">
        <is>
          <t>n/a</t>
        </is>
      </c>
      <c r="H17" s="2" t="inlineStr">
        <is>
          <t>Android</t>
        </is>
      </c>
      <c r="I17" s="2" t="inlineStr">
        <is>
          <t>n/a</t>
        </is>
      </c>
      <c r="J17" s="2" t="inlineStr">
        <is>
          <t>Sourced (AppBrain similar-apps list)</t>
        </is>
      </c>
      <c r="K17" s="2" t="inlineStr">
        <is>
          <t>https://www.appbrain.com/app/voice-recorder-ai-transcribe/kr.co.neoandroid.recoder</t>
        </is>
      </c>
      <c r="L17" s="2" t="inlineStr">
        <is>
          <t>not scored (no info)</t>
        </is>
      </c>
      <c r="M17" s="2" t="inlineStr"/>
    </row>
    <row r="18">
      <c r="A18" s="2" t="inlineStr">
        <is>
          <t>NoteQA - AI Audio Transcription</t>
        </is>
      </c>
      <c r="B18" s="2" t="inlineStr">
        <is>
          <t>Pixster Studio</t>
        </is>
      </c>
      <c r="C18" s="2" t="inlineStr">
        <is>
          <t>n/a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10K+</t>
        </is>
      </c>
      <c r="G18" s="2" t="inlineStr">
        <is>
          <t>2.2★</t>
        </is>
      </c>
      <c r="H18" s="2" t="inlineStr">
        <is>
          <t>Android</t>
        </is>
      </c>
      <c r="I18" s="3" t="inlineStr">
        <is>
          <t>https://play.google.com/store/apps/details?id=com.pixsterstudio.transcribe</t>
        </is>
      </c>
      <c r="J18" s="2" t="inlineStr">
        <is>
          <t>Sourced (AppBrain); package ID from AppBrain URL</t>
        </is>
      </c>
      <c r="K18" s="2" t="inlineStr">
        <is>
          <t>https://www.appbrain.com/app/noteqa-ai-audio-transcription/com.pixsterstudio.transcribe</t>
        </is>
      </c>
      <c r="L18" s="2" t="inlineStr">
        <is>
          <t>not scored (no info)</t>
        </is>
      </c>
      <c r="M18" s="2" t="inlineStr"/>
    </row>
    <row r="19">
      <c r="A19" s="2" t="inlineStr">
        <is>
          <t>Audionotes</t>
        </is>
      </c>
      <c r="B19" s="2" t="inlineStr">
        <is>
          <t>Audionotes</t>
        </is>
      </c>
      <c r="C19" s="2" t="inlineStr">
        <is>
          <t>$70/yr Personal; $130/yr Pro</t>
        </is>
      </c>
      <c r="D19" s="2" t="inlineStr">
        <is>
          <t>n/a</t>
        </is>
      </c>
      <c r="E19" s="2" t="inlineStr">
        <is>
          <t>n/a</t>
        </is>
      </c>
      <c r="F19" s="2" t="inlineStr">
        <is>
          <t>n/a</t>
        </is>
      </c>
      <c r="G19" s="2" t="inlineStr">
        <is>
          <t>~4.77★ / 88 ratings (AppBrain)</t>
        </is>
      </c>
      <c r="H19" s="2" t="inlineStr">
        <is>
          <t>Android, iOS (cloud AI per vendor)</t>
        </is>
      </c>
      <c r="I19" s="3" t="inlineStr">
        <is>
          <t>https://play.google.com/store/apps/details?id=com.labs.audionotes</t>
        </is>
      </c>
      <c r="J19" s="2" t="inlineStr">
        <is>
          <t>Package per SimilarWeb, UNCONFIRMED (AppBrain lists a different developer); installs not found</t>
        </is>
      </c>
      <c r="K19" s="2" t="inlineStr">
        <is>
          <t>https://www.similarweb.com/ko/app/google/com.labs.audionotes/</t>
        </is>
      </c>
      <c r="L19" s="2" t="n">
        <v>4</v>
      </c>
      <c r="M19" s="2" t="inlineStr">
        <is>
          <t>Voice notes, cloud AI, subscription</t>
        </is>
      </c>
    </row>
    <row r="20">
      <c r="A20" s="2" t="inlineStr">
        <is>
          <t>Fireflies</t>
        </is>
      </c>
      <c r="B20" s="2" t="inlineStr">
        <is>
          <t>Fireflies.ai</t>
        </is>
      </c>
      <c r="C20" s="2" t="inlineStr">
        <is>
          <t>n/a</t>
        </is>
      </c>
      <c r="D20" s="2" t="inlineStr">
        <is>
          <t>n/a</t>
        </is>
      </c>
      <c r="E20" s="2" t="inlineStr">
        <is>
          <t>n/a</t>
        </is>
      </c>
      <c r="F20" s="2" t="inlineStr">
        <is>
          <t>n/a</t>
        </is>
      </c>
      <c r="G20" s="2" t="inlineStr">
        <is>
          <t>n/a</t>
        </is>
      </c>
      <c r="H20" s="2" t="inlineStr">
        <is>
          <t>Mobile + web (unverified)</t>
        </is>
      </c>
      <c r="I20" s="2" t="inlineStr">
        <is>
          <t>n/a</t>
        </is>
      </c>
      <c r="J20" s="2" t="inlineStr">
        <is>
          <t>Named in roundups only</t>
        </is>
      </c>
      <c r="K20" s="2" t="inlineStr">
        <is>
          <t>https://www.happyscribe.com/blog/best-ai-meeting-note-takers-for-android</t>
        </is>
      </c>
      <c r="L20" s="2" t="n">
        <v>2</v>
      </c>
      <c r="M20" s="2" t="inlineStr">
        <is>
          <t>Cloud-first meetings</t>
        </is>
      </c>
    </row>
    <row r="21">
      <c r="A21" s="2" t="inlineStr">
        <is>
          <t>Krisp</t>
        </is>
      </c>
      <c r="B21" s="2" t="inlineStr">
        <is>
          <t>Krisp</t>
        </is>
      </c>
      <c r="C21" s="2" t="inlineStr">
        <is>
          <t>Free trial, paid tiers</t>
        </is>
      </c>
      <c r="D21" s="2" t="inlineStr">
        <is>
          <t>n/a</t>
        </is>
      </c>
      <c r="E21" s="2" t="inlineStr">
        <is>
          <t>n/a</t>
        </is>
      </c>
      <c r="F21" s="2" t="inlineStr">
        <is>
          <t>n/a</t>
        </is>
      </c>
      <c r="G21" s="2" t="inlineStr">
        <is>
          <t>n/a</t>
        </is>
      </c>
      <c r="H21" s="2" t="inlineStr">
        <is>
          <t>n/a</t>
        </is>
      </c>
      <c r="I21" s="2" t="inlineStr">
        <is>
          <t>n/a</t>
        </is>
      </c>
      <c r="J21" s="2" t="inlineStr">
        <is>
          <t>Named in roundups only</t>
        </is>
      </c>
      <c r="K21" s="2" t="inlineStr">
        <is>
          <t>https://www.happyscribe.com/blog/best-ai-meeting-note-takers-for-android</t>
        </is>
      </c>
      <c r="L21" s="2" t="inlineStr">
        <is>
          <t>not scored (no info)</t>
        </is>
      </c>
      <c r="M21" s="2" t="inlineStr"/>
    </row>
    <row r="22">
      <c r="A22" s="2" t="inlineStr">
        <is>
          <t>ScreenApp</t>
        </is>
      </c>
      <c r="B22" s="2" t="inlineStr">
        <is>
          <t>ScreenApp</t>
        </is>
      </c>
      <c r="C22" s="2" t="inlineStr">
        <is>
          <t>n/a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inlineStr">
        <is>
          <t>n/a</t>
        </is>
      </c>
      <c r="H22" s="2" t="inlineStr">
        <is>
          <t>Mobile capture + web</t>
        </is>
      </c>
      <c r="I22" s="2" t="inlineStr">
        <is>
          <t>n/a</t>
        </is>
      </c>
      <c r="J22" s="2" t="inlineStr">
        <is>
          <t>Named in roundups only</t>
        </is>
      </c>
      <c r="K22" s="2" t="inlineStr">
        <is>
          <t>https://screenapp.io/nl/blog/best-mobile-ai-note-taking-apps</t>
        </is>
      </c>
      <c r="L22" s="2" t="inlineStr">
        <is>
          <t>not scored (no info)</t>
        </is>
      </c>
      <c r="M22" s="2" t="inlineStr"/>
    </row>
    <row r="23">
      <c r="A23" s="2" t="inlineStr">
        <is>
          <t>Granola</t>
        </is>
      </c>
      <c r="B23" s="2" t="inlineStr">
        <is>
          <t>Granola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n/a</t>
        </is>
      </c>
      <c r="F23" s="2" t="inlineStr">
        <is>
          <t>n/a</t>
        </is>
      </c>
      <c r="G23" s="2" t="inlineStr">
        <is>
          <t>n/a</t>
        </is>
      </c>
      <c r="H23" s="2" t="inlineStr">
        <is>
          <t>Mac, iOS (not Android per roundup)</t>
        </is>
      </c>
      <c r="I23" s="2" t="inlineStr">
        <is>
          <t>n/a</t>
        </is>
      </c>
      <c r="J23" s="2" t="inlineStr">
        <is>
          <t>Named in roundups only</t>
        </is>
      </c>
      <c r="K23" s="2" t="inlineStr">
        <is>
          <t>https://www.happyscribe.com/blog/best-ai-meeting-note-takers-for-android</t>
        </is>
      </c>
      <c r="L23" s="2" t="n">
        <v>2</v>
      </c>
      <c r="M23" s="2" t="inlineStr">
        <is>
          <t>Mac/iOS meetings</t>
        </is>
      </c>
    </row>
    <row r="24">
      <c r="A24" s="2" t="inlineStr">
        <is>
          <t>Fathom</t>
        </is>
      </c>
      <c r="B24" s="2" t="inlineStr">
        <is>
          <t>Fathom</t>
        </is>
      </c>
      <c r="C24" s="2" t="inlineStr">
        <is>
          <t>Free tier</t>
        </is>
      </c>
      <c r="D24" s="2" t="inlineStr">
        <is>
          <t>n/a</t>
        </is>
      </c>
      <c r="E24" s="2" t="inlineStr">
        <is>
          <t>n/a</t>
        </is>
      </c>
      <c r="F24" s="2" t="inlineStr">
        <is>
          <t>n/a</t>
        </is>
      </c>
      <c r="G24" s="2" t="inlineStr">
        <is>
          <t>n/a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Named in directory lists only</t>
        </is>
      </c>
      <c r="K24" s="2" t="inlineStr">
        <is>
          <t>https://toolradar.com/alternatives/buddy-ai-note</t>
        </is>
      </c>
      <c r="L24" s="2" t="inlineStr">
        <is>
          <t>not scored (no info)</t>
        </is>
      </c>
      <c r="M24" s="2" t="inlineStr"/>
    </row>
    <row r="25">
      <c r="A25" s="2" t="inlineStr">
        <is>
          <t>Read.ai</t>
        </is>
      </c>
      <c r="B25" s="2" t="inlineStr">
        <is>
          <t>Read.ai</t>
        </is>
      </c>
      <c r="C25" s="2" t="inlineStr">
        <is>
          <t>n/a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inlineStr">
        <is>
          <t>n/a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Named in directory lists only</t>
        </is>
      </c>
      <c r="K25" s="2" t="inlineStr">
        <is>
          <t>https://toolradar.com/alternatives/buddy-ai-note</t>
        </is>
      </c>
      <c r="L25" s="2" t="inlineStr">
        <is>
          <t>not scored (no info)</t>
        </is>
      </c>
      <c r="M25" s="2" t="inlineStr"/>
    </row>
    <row r="26">
      <c r="A26" s="2" t="inlineStr">
        <is>
          <t>Sembly AI</t>
        </is>
      </c>
      <c r="B26" s="2" t="inlineStr">
        <is>
          <t>Sembly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n/a</t>
        </is>
      </c>
      <c r="F26" s="2" t="inlineStr">
        <is>
          <t>n/a</t>
        </is>
      </c>
      <c r="G26" s="2" t="inlineStr">
        <is>
          <t>n/a</t>
        </is>
      </c>
      <c r="H26" s="2" t="inlineStr">
        <is>
          <t>n/a</t>
        </is>
      </c>
      <c r="I26" s="2" t="inlineStr">
        <is>
          <t>n/a</t>
        </is>
      </c>
      <c r="J26" s="2" t="inlineStr">
        <is>
          <t>Named in directory lists only</t>
        </is>
      </c>
      <c r="K26" s="2" t="inlineStr">
        <is>
          <t>https://toolradar.com/alternatives/buddy-ai-note</t>
        </is>
      </c>
      <c r="L26" s="2" t="inlineStr">
        <is>
          <t>not scored (no info)</t>
        </is>
      </c>
      <c r="M26" s="2" t="inlineStr"/>
    </row>
    <row r="27">
      <c r="A27" s="2" t="inlineStr">
        <is>
          <t>Supernormal</t>
        </is>
      </c>
      <c r="B27" s="2" t="inlineStr">
        <is>
          <t>Supernormal</t>
        </is>
      </c>
      <c r="C27" s="2" t="inlineStr">
        <is>
          <t>n/a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inlineStr">
        <is>
          <t>n/a</t>
        </is>
      </c>
      <c r="H27" s="2" t="inlineStr">
        <is>
          <t>n/a</t>
        </is>
      </c>
      <c r="I27" s="2" t="inlineStr">
        <is>
          <t>n/a</t>
        </is>
      </c>
      <c r="J27" s="2" t="inlineStr">
        <is>
          <t>Named in directory lists only</t>
        </is>
      </c>
      <c r="K27" s="2" t="inlineStr">
        <is>
          <t>https://toolradar.com/alternatives/buddy-ai-note</t>
        </is>
      </c>
      <c r="L27" s="2" t="inlineStr">
        <is>
          <t>not scored (no info)</t>
        </is>
      </c>
      <c r="M27" s="2" t="inlineStr"/>
    </row>
    <row r="28">
      <c r="A28" s="2" t="inlineStr">
        <is>
          <t>Coconote</t>
        </is>
      </c>
      <c r="B28" s="2" t="inlineStr">
        <is>
          <t>Coconote</t>
        </is>
      </c>
      <c r="C28" s="2" t="inlineStr">
        <is>
          <t>n/a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n/a</t>
        </is>
      </c>
      <c r="G28" s="2" t="inlineStr">
        <is>
          <t>n/a</t>
        </is>
      </c>
      <c r="H28" s="2" t="inlineStr">
        <is>
          <t>n/a</t>
        </is>
      </c>
      <c r="I28" s="2" t="inlineStr">
        <is>
          <t>n/a</t>
        </is>
      </c>
      <c r="J28" s="2" t="inlineStr">
        <is>
          <t>Named in directory lists only</t>
        </is>
      </c>
      <c r="K28" s="2" t="inlineStr">
        <is>
          <t>https://toolradar.com/alternatives/coconote</t>
        </is>
      </c>
      <c r="L28" s="2" t="inlineStr">
        <is>
          <t>not scored (no info)</t>
        </is>
      </c>
      <c r="M28" s="2" t="inlineStr"/>
    </row>
    <row r="29">
      <c r="A29" s="2" t="inlineStr">
        <is>
          <t>Mem</t>
        </is>
      </c>
      <c r="B29" s="2" t="inlineStr">
        <is>
          <t>Mem</t>
        </is>
      </c>
      <c r="C29" s="2" t="inlineStr">
        <is>
          <t>n/a</t>
        </is>
      </c>
      <c r="D29" s="2" t="inlineStr">
        <is>
          <t>n/a</t>
        </is>
      </c>
      <c r="E29" s="2" t="inlineStr">
        <is>
          <t>n/a</t>
        </is>
      </c>
      <c r="F29" s="2" t="inlineStr">
        <is>
          <t>n/a</t>
        </is>
      </c>
      <c r="G29" s="2" t="inlineStr">
        <is>
          <t>n/a</t>
        </is>
      </c>
      <c r="H29" s="2" t="inlineStr">
        <is>
          <t>n/a</t>
        </is>
      </c>
      <c r="I29" s="2" t="inlineStr">
        <is>
          <t>n/a</t>
        </is>
      </c>
      <c r="J29" s="2" t="inlineStr">
        <is>
          <t>Named in directory lists only</t>
        </is>
      </c>
      <c r="K29" s="2" t="inlineStr">
        <is>
          <t>https://www.toolfinder.com/best/mem-alternatives</t>
        </is>
      </c>
      <c r="L29" s="2" t="n">
        <v>3</v>
      </c>
      <c r="M29" s="2" t="inlineStr">
        <is>
          <t>AI notes, not voice-first, no offline</t>
        </is>
      </c>
    </row>
    <row r="30">
      <c r="A30" s="2" t="inlineStr">
        <is>
          <t>VoicePen: AI Note Taker</t>
        </is>
      </c>
      <c r="B30" s="2" t="inlineStr">
        <is>
          <t>VoicePen</t>
        </is>
      </c>
      <c r="C30" s="2" t="inlineStr">
        <is>
          <t>n/a</t>
        </is>
      </c>
      <c r="D30" s="2" t="inlineStr">
        <is>
          <t>n/a</t>
        </is>
      </c>
      <c r="E30" s="2" t="inlineStr">
        <is>
          <t>n/a</t>
        </is>
      </c>
      <c r="F30" s="2" t="inlineStr">
        <is>
          <t>n/a</t>
        </is>
      </c>
      <c r="G30" s="2" t="inlineStr">
        <is>
          <t>n/a</t>
        </is>
      </c>
      <c r="H30" s="2" t="inlineStr">
        <is>
          <t>iOS</t>
        </is>
      </c>
      <c r="I30" s="2" t="inlineStr">
        <is>
          <t>n/a</t>
        </is>
      </c>
      <c r="J30" s="2" t="inlineStr">
        <is>
          <t>AppBrain iOS page; no Android found</t>
        </is>
      </c>
      <c r="K30" s="2" t="inlineStr">
        <is>
          <t>https://www.appbrain.com/appstore/ai-note-taker-voicepen/ios-6462815872</t>
        </is>
      </c>
      <c r="L30" s="2" t="inlineStr">
        <is>
          <t>not scored (no info)</t>
        </is>
      </c>
      <c r="M30" s="2" t="inlineStr"/>
    </row>
    <row r="31">
      <c r="A31" s="2" t="inlineStr">
        <is>
          <t>Yaps</t>
        </is>
      </c>
      <c r="B31" s="2" t="inlineStr">
        <is>
          <t>Yaps</t>
        </is>
      </c>
      <c r="C31" s="2" t="inlineStr">
        <is>
          <t>Free; Pro $12/mo (vendor)</t>
        </is>
      </c>
      <c r="D31" s="2" t="inlineStr">
        <is>
          <t>n/a</t>
        </is>
      </c>
      <c r="E31" s="2" t="inlineStr">
        <is>
          <t>n/a</t>
        </is>
      </c>
      <c r="F31" s="2" t="inlineStr">
        <is>
          <t>n/a</t>
        </is>
      </c>
      <c r="G31" s="2" t="inlineStr">
        <is>
          <t>n/a</t>
        </is>
      </c>
      <c r="H31" s="2" t="inlineStr">
        <is>
          <t>Android keyboard (+ other platforms)</t>
        </is>
      </c>
      <c r="I31" s="2" t="inlineStr">
        <is>
          <t>n/a</t>
        </is>
      </c>
      <c r="J31" s="2" t="inlineStr">
        <is>
          <t>Vendor claims, unverified: on-device dictation, offline cleanup option</t>
        </is>
      </c>
      <c r="K31" s="2" t="inlineStr">
        <is>
          <t>https://www.yaps.ai/android</t>
        </is>
      </c>
      <c r="L31" s="2" t="n">
        <v>8</v>
      </c>
      <c r="M31" s="2" t="inlineStr">
        <is>
          <t>Android, on-device dictation + read-aloud; keyboard not notes app</t>
        </is>
      </c>
      <c r="N31" s="2" t="inlineStr">
        <is>
          <t>Vendor says microphone is the only permission, no Accessibility Service; audio stays on device. A Japanese page mentions an Accessibility Service check-in (contradiction, unresolved). INTERNET not addressed; cloud cleanup mode exists. https://www.yaps.ai/blog/yaps-android-app-launch</t>
        </is>
      </c>
    </row>
    <row r="32">
      <c r="A32" s="2" t="inlineStr">
        <is>
          <t>Whisper: Voice to Text</t>
        </is>
      </c>
      <c r="B32" s="2" t="inlineStr">
        <is>
          <t>(lazycattle)</t>
        </is>
      </c>
      <c r="C32" s="2" t="inlineStr">
        <is>
          <t>Free tier with daily limit; one-time Pro</t>
        </is>
      </c>
      <c r="D32" s="2" t="inlineStr">
        <is>
          <t>n/a</t>
        </is>
      </c>
      <c r="E32" s="2" t="inlineStr">
        <is>
          <t>n/a</t>
        </is>
      </c>
      <c r="F32" s="2" t="inlineStr">
        <is>
          <t>~16 downloads (Chrome-Stats, 2026-08-01; tracker)</t>
        </is>
      </c>
      <c r="G32" s="2" t="inlineStr">
        <is>
          <t>n/a</t>
        </is>
      </c>
      <c r="H32" s="2" t="inlineStr">
        <is>
          <t>Android</t>
        </is>
      </c>
      <c r="I32" s="3" t="inlineStr">
        <is>
          <t>https://play.google.com/store/apps/details?id=com.lazycattle.transcribe</t>
        </is>
      </c>
      <c r="J32" s="2" t="inlineStr">
        <is>
          <t>Vendor claims offline, unverified</t>
        </is>
      </c>
      <c r="K32" s="2" t="inlineStr">
        <is>
          <t>https://play.google.com/store/apps/details?id=com.lazycattle.transcribe&amp;hl=en_GB</t>
        </is>
      </c>
      <c r="L32" s="2" t="n">
        <v>6</v>
      </c>
      <c r="M32" s="2" t="inlineStr">
        <is>
          <t>Claims offline, but tiny reach and no permissions info</t>
        </is>
      </c>
      <c r="N32" s="2" t="inlineStr">
        <is>
          <t>Vendor claims offline, no data collection. No permissions list or privacy policy found. Only ~16 downloads (Chrome-Stats, 2026-08-01). https://chrome-stats.com/d/com.lazycattle.transcribe</t>
        </is>
      </c>
    </row>
    <row r="33">
      <c r="A33" s="2" t="inlineStr">
        <is>
          <t>Whisper Android Speech To Text</t>
        </is>
      </c>
      <c r="B33" s="2" t="inlineStr">
        <is>
          <t>(signalmaster)</t>
        </is>
      </c>
      <c r="C33" s="2" t="inlineStr">
        <is>
          <t>n/a</t>
        </is>
      </c>
      <c r="D33" s="2" t="inlineStr">
        <is>
          <t>n/a</t>
        </is>
      </c>
      <c r="E33" s="2" t="inlineStr">
        <is>
          <t>n/a</t>
        </is>
      </c>
      <c r="F33" s="2" t="inlineStr">
        <is>
          <t>n/a</t>
        </is>
      </c>
      <c r="G33" s="2" t="inlineStr">
        <is>
          <t>Mixed reviews (UX)</t>
        </is>
      </c>
      <c r="H33" s="2" t="inlineStr">
        <is>
          <t>Android</t>
        </is>
      </c>
      <c r="I33" s="3" t="inlineStr">
        <is>
          <t>https://play.google.com/store/apps/details?id=com.signalmaster.asr</t>
        </is>
      </c>
      <c r="J33" s="2" t="inlineStr">
        <is>
          <t>Listing says offline Whisper; unverified</t>
        </is>
      </c>
      <c r="K33" s="2" t="inlineStr">
        <is>
          <t>https://play.google.com/store/apps/details?id=com.signalmaster.asr</t>
        </is>
      </c>
      <c r="L33" s="2" t="n">
        <v>6</v>
      </c>
      <c r="M33" s="2" t="inlineStr">
        <is>
          <t>Offline Whisper but weak notes UX per reviews</t>
        </is>
      </c>
      <c r="N33" s="2" t="inlineStr">
        <is>
          <t>Nothing found for com.signalmaster.asr; treat listing as unverified.</t>
        </is>
      </c>
    </row>
    <row r="34">
      <c r="A34" s="2" t="inlineStr">
        <is>
          <t>VoicePad</t>
        </is>
      </c>
      <c r="B34" s="2" t="inlineStr">
        <is>
          <t>VoicePad</t>
        </is>
      </c>
      <c r="C34" s="2" t="inlineStr">
        <is>
          <t>One-time price (vendor)</t>
        </is>
      </c>
      <c r="D34" s="2" t="inlineStr">
        <is>
          <t>n/a</t>
        </is>
      </c>
      <c r="E34" s="2" t="inlineStr">
        <is>
          <t>n/a</t>
        </is>
      </c>
      <c r="F34" s="2" t="inlineStr">
        <is>
          <t>n/a</t>
        </is>
      </c>
      <c r="G34" s="2" t="inlineStr">
        <is>
          <t>n/a</t>
        </is>
      </c>
      <c r="H34" s="2" t="inlineStr">
        <is>
          <t>Android + desktop + iOS</t>
        </is>
      </c>
      <c r="I34" s="2" t="inlineStr">
        <is>
          <t>n/a</t>
        </is>
      </c>
      <c r="J34" s="2" t="inlineStr">
        <is>
          <t>Vendor claims local Whisper; Play listing not confirmed</t>
        </is>
      </c>
      <c r="K34" s="2" t="inlineStr">
        <is>
          <t>https://voicepad.tech/offline-speech-to-text/</t>
        </is>
      </c>
      <c r="L34" s="2" t="n">
        <v>7</v>
      </c>
      <c r="M34" s="2" t="inlineStr">
        <is>
          <t>Local Whisper, one-time price; Android availability unconfirmed</t>
        </is>
      </c>
    </row>
    <row r="35">
      <c r="A35" s="2" t="inlineStr">
        <is>
          <t>Notely Voice</t>
        </is>
      </c>
      <c r="B35" s="2" t="inlineStr">
        <is>
          <t>Open source</t>
        </is>
      </c>
      <c r="C35" s="2" t="inlineStr">
        <is>
          <t>Free (open source)</t>
        </is>
      </c>
      <c r="D35" s="2" t="inlineStr">
        <is>
          <t>n/a</t>
        </is>
      </c>
      <c r="E35" s="2" t="inlineStr">
        <is>
          <t>n/a</t>
        </is>
      </c>
      <c r="F35" s="2" t="inlineStr">
        <is>
          <t>n/a</t>
        </is>
      </c>
      <c r="G35" s="2" t="inlineStr">
        <is>
          <t>n/a</t>
        </is>
      </c>
      <c r="H35" s="2" t="inlineStr">
        <is>
          <t>Android, iOS</t>
        </is>
      </c>
      <c r="I35" s="3" t="inlineStr">
        <is>
          <t>https://f-droid.org/packages/com.module.notelycompose.android/</t>
        </is>
      </c>
      <c r="J35" s="2" t="inlineStr">
        <is>
          <t>F-Droid listing found (not Play); on-device claim from repo, unverified</t>
        </is>
      </c>
      <c r="K35" s="2" t="inlineStr">
        <is>
          <t>https://github.com/tosinonikute/NotelyVoice</t>
        </is>
      </c>
      <c r="L35" s="2" t="n">
        <v>8</v>
      </c>
      <c r="M35" s="2" t="inlineStr">
        <is>
          <t>Open source, on-device Whisper, Android; closest in approach</t>
        </is>
      </c>
      <c r="N35" s="2" t="inlineStr">
        <is>
          <t>F-Droid (com.module.notelycompose.android) lists: full network access, microphone foreground service, download-without-notification. Network likely for model download (inference). RECORD_AUDIO/INTERNET not confirmed by name. Source is public, not audited. https://f-droid.org/packages/com.module.notelycompose.android/</t>
        </is>
      </c>
    </row>
    <row r="36">
      <c r="A36" s="2" t="inlineStr">
        <is>
          <t>Hands Free Notes</t>
        </is>
      </c>
      <c r="B36" s="2" t="inlineStr">
        <is>
          <t>Indie dev</t>
        </is>
      </c>
      <c r="C36" s="2" t="inlineStr">
        <is>
          <t>n/a</t>
        </is>
      </c>
      <c r="D36" s="2" t="inlineStr">
        <is>
          <t>n/a</t>
        </is>
      </c>
      <c r="E36" s="2" t="inlineStr">
        <is>
          <t>n/a</t>
        </is>
      </c>
      <c r="F36" s="2" t="inlineStr">
        <is>
          <t>n/a</t>
        </is>
      </c>
      <c r="G36" s="2" t="inlineStr">
        <is>
          <t>n/a</t>
        </is>
      </c>
      <c r="H36" s="2" t="inlineStr">
        <is>
          <t>Android</t>
        </is>
      </c>
      <c r="I36" s="2" t="inlineStr">
        <is>
          <t>n/a</t>
        </is>
      </c>
      <c r="J36" s="2" t="inlineStr">
        <is>
          <t>Developer post only; unverified</t>
        </is>
      </c>
      <c r="K36" s="2" t="inlineStr">
        <is>
          <t>https://dev.to/turnkit-dev/whisper-on-mobile-is-better-than-i-expected-so-i-built-an-offline-notes-app-41d7</t>
        </is>
      </c>
      <c r="L36" s="2" t="n">
        <v>6</v>
      </c>
      <c r="M36" s="2" t="inlineStr">
        <is>
          <t>On-device voice notes on Android; indie, unverified</t>
        </is>
      </c>
    </row>
    <row r="37">
      <c r="A37" s="2" t="inlineStr">
        <is>
          <t>VoiceScriber AI: Offline Notes</t>
        </is>
      </c>
      <c r="B37" s="2" t="inlineStr">
        <is>
          <t>VoiceScriber</t>
        </is>
      </c>
      <c r="C37" s="2" t="inlineStr">
        <is>
          <t>$39.99 one-time; $4.99/mo; $29.99/yr</t>
        </is>
      </c>
      <c r="D37" s="2" t="inlineStr">
        <is>
          <t>n/a</t>
        </is>
      </c>
      <c r="E37" s="2" t="inlineStr">
        <is>
          <t>n/a</t>
        </is>
      </c>
      <c r="F37" s="2" t="inlineStr">
        <is>
          <t>n/a</t>
        </is>
      </c>
      <c r="G37" s="2" t="inlineStr">
        <is>
          <t>n/a</t>
        </is>
      </c>
      <c r="H37" s="2" t="inlineStr">
        <is>
          <t>iOS only</t>
        </is>
      </c>
      <c r="I37" s="2" t="inlineStr">
        <is>
          <t>n/a</t>
        </is>
      </c>
      <c r="J37" s="2" t="inlineStr">
        <is>
          <t>Vendor claims on-device, offline; iOS only</t>
        </is>
      </c>
      <c r="K37" s="2" t="inlineStr">
        <is>
          <t>https://apps.apple.com/us/app/voicescriber-ai-offline-notes/id6736822144</t>
        </is>
      </c>
      <c r="L37" s="2" t="n">
        <v>6</v>
      </c>
      <c r="M37" s="2" t="inlineStr">
        <is>
          <t>Offline, on-device notes but iOS only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7" r:id="rId2"/>
    <hyperlink xmlns:r="http://schemas.openxmlformats.org/officeDocument/2006/relationships" ref="I18" r:id="rId3"/>
    <hyperlink xmlns:r="http://schemas.openxmlformats.org/officeDocument/2006/relationships" ref="I19" r:id="rId4"/>
    <hyperlink xmlns:r="http://schemas.openxmlformats.org/officeDocument/2006/relationships" ref="I32" r:id="rId5"/>
    <hyperlink xmlns:r="http://schemas.openxmlformats.org/officeDocument/2006/relationships" ref="I33" r:id="rId6"/>
    <hyperlink xmlns:r="http://schemas.openxmlformats.org/officeDocument/2006/relationships" ref="I35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6" customWidth="1" min="3" max="3"/>
    <col width="34" customWidth="1" min="4" max="4"/>
    <col width="70" customWidth="1" min="5" max="5"/>
  </cols>
  <sheetData>
    <row r="1">
      <c r="A1" s="4" t="inlineStr">
        <is>
          <t>Topic</t>
        </is>
      </c>
      <c r="B1" s="4" t="inlineStr">
        <is>
          <t>Metric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Source / notes</t>
        </is>
      </c>
    </row>
    <row r="2">
      <c r="A2" s="2" t="inlineStr">
        <is>
          <t>Revenue</t>
        </is>
      </c>
      <c r="B2" s="2" t="inlineStr">
        <is>
          <t>Summary AI total, per month</t>
        </is>
      </c>
      <c r="C2" s="2" t="inlineStr">
        <is>
          <t>~$700K</t>
        </is>
      </c>
      <c r="D2" s="2" t="inlineStr">
        <is>
          <t>Estimated (unverified, likely gross)</t>
        </is>
      </c>
      <c r="E2" s="2" t="inlineStr">
        <is>
          <t>ScreensDesign (prior research)</t>
        </is>
      </c>
    </row>
    <row r="3">
      <c r="A3" s="2" t="inlineStr">
        <is>
          <t>Revenue</t>
        </is>
      </c>
      <c r="B3" s="2" t="inlineStr">
        <is>
          <t>Summary AI Android, per month</t>
        </is>
      </c>
      <c r="C3" s="2" t="inlineStr">
        <is>
          <t>~$30K</t>
        </is>
      </c>
      <c r="D3" s="2" t="inlineStr">
        <is>
          <t>Estimated</t>
        </is>
      </c>
      <c r="E3" s="2" t="inlineStr">
        <is>
          <t>https://trendapps.dev/app/android/io-labhouse-audioapp/</t>
        </is>
      </c>
    </row>
    <row r="4">
      <c r="A4" s="2" t="inlineStr">
        <is>
          <t>Revenue</t>
        </is>
      </c>
      <c r="B4" s="2" t="inlineStr">
        <is>
          <t>Labhouse 2024 sales</t>
        </is>
      </c>
      <c r="C4" s="2" t="inlineStr">
        <is>
          <t>Not public</t>
        </is>
      </c>
      <c r="D4" s="2" t="inlineStr">
        <is>
          <t>Hidden</t>
        </is>
      </c>
      <c r="E4" s="2" t="inlineStr">
        <is>
          <t>Accounts filed; figures paywalled (Infonif/eInforma)</t>
        </is>
      </c>
    </row>
    <row r="5">
      <c r="A5" s="2" t="inlineStr">
        <is>
          <t>Downloads</t>
        </is>
      </c>
      <c r="B5" s="2" t="inlineStr">
        <is>
          <t>Android bucket (Google Play)</t>
        </is>
      </c>
      <c r="C5" s="2" t="inlineStr">
        <is>
          <t>1M+</t>
        </is>
      </c>
      <c r="D5" s="2" t="inlineStr">
        <is>
          <t>Sourced (search result, page not opened)</t>
        </is>
      </c>
      <c r="E5" s="2" t="inlineStr">
        <is>
          <t>https://play.google.com/store/apps/details?id=io.labhouse.audioapp</t>
        </is>
      </c>
    </row>
    <row r="6">
      <c r="A6" s="2" t="inlineStr">
        <is>
          <t>Downloads</t>
        </is>
      </c>
      <c r="B6" s="2" t="inlineStr">
        <is>
          <t>Android total / last 30 days (AppBrain)</t>
        </is>
      </c>
      <c r="C6" s="2" t="inlineStr">
        <is>
          <t>~1.5M / ~390K</t>
        </is>
      </c>
      <c r="D6" s="2" t="inlineStr">
        <is>
          <t>Estimated</t>
        </is>
      </c>
      <c r="E6" s="2" t="inlineStr">
        <is>
          <t>https://www.appbrain.com/app/summary-ai-note-taker/io.labhouse.audioapp</t>
        </is>
      </c>
    </row>
    <row r="7">
      <c r="A7" s="2" t="inlineStr">
        <is>
          <t>Downloads</t>
        </is>
      </c>
      <c r="B7" s="2" t="inlineStr">
        <is>
          <t>Android last 30 days (TrendApps)</t>
        </is>
      </c>
      <c r="C7" s="2" t="inlineStr">
        <is>
          <t>~100K</t>
        </is>
      </c>
      <c r="D7" s="2" t="inlineStr">
        <is>
          <t>Estimated (conflicts with AppBrain)</t>
        </is>
      </c>
      <c r="E7" s="2" t="inlineStr">
        <is>
          <t>https://trendapps.dev/app/android/io-labhouse-audioapp/</t>
        </is>
      </c>
    </row>
    <row r="8">
      <c r="A8" s="2" t="inlineStr">
        <is>
          <t>Ratings</t>
        </is>
      </c>
      <c r="B8" s="2" t="inlineStr">
        <is>
          <t>iOS ratings count</t>
        </is>
      </c>
      <c r="C8" s="2" t="inlineStr">
        <is>
          <t>~54K (earlier note: 31.9K)</t>
        </is>
      </c>
      <c r="D8" s="2" t="inlineStr">
        <is>
          <t>Conflicting</t>
        </is>
      </c>
      <c r="E8" s="2" t="inlineStr">
        <is>
          <t>https://apps.apple.com/us/app/summary-ai-note-taker/id6670175056</t>
        </is>
      </c>
    </row>
    <row r="9">
      <c r="A9" s="2" t="inlineStr">
        <is>
          <t>Deals</t>
        </is>
      </c>
      <c r="B9" s="2" t="inlineStr">
        <is>
          <t>Acquisition offer / news</t>
        </is>
      </c>
      <c r="C9" s="2" t="inlineStr">
        <is>
          <t>None found</t>
        </is>
      </c>
      <c r="D9" s="2" t="inlineStr">
        <is>
          <t>Not found</t>
        </is>
      </c>
      <c r="E9" s="2" t="inlineStr">
        <is>
          <t>Searched news and profiles; no report</t>
        </is>
      </c>
    </row>
    <row r="10">
      <c r="A10" s="2" t="inlineStr">
        <is>
          <t>Deals</t>
        </is>
      </c>
      <c r="B10" s="2" t="inlineStr">
        <is>
          <t>Outside funding</t>
        </is>
      </c>
      <c r="C10" s="2" t="inlineStr">
        <is>
          <t>None found</t>
        </is>
      </c>
      <c r="D10" s="2" t="inlineStr">
        <is>
          <t>Not found</t>
        </is>
      </c>
      <c r="E10" s="2" t="inlineStr">
        <is>
          <t>Registry shows a capital increase, investor not named: https://infonif.economia3.com/ficha-empresa/labhouse-mobile-sl</t>
        </is>
      </c>
    </row>
    <row r="11">
      <c r="A11" s="2" t="inlineStr">
        <is>
          <t>Deals</t>
        </is>
      </c>
      <c r="B11" s="2" t="inlineStr">
        <is>
          <t>Martos personal investing</t>
        </is>
      </c>
      <c r="C11" s="2" t="inlineStr">
        <is>
          <t>2 investments (Baobab Ventures)</t>
        </is>
      </c>
      <c r="D11" s="2" t="inlineStr">
        <is>
          <t>Sourced</t>
        </is>
      </c>
      <c r="E11" s="2" t="inlineStr">
        <is>
          <t>https://pitchbook.com/profiles/investor/232475-14</t>
        </is>
      </c>
    </row>
    <row r="12">
      <c r="A12" s="2" t="inlineStr">
        <is>
          <t>Company</t>
        </is>
      </c>
      <c r="B12" s="2" t="inlineStr">
        <is>
          <t>Spain sales rank 2024</t>
        </is>
      </c>
      <c r="C12" s="2" t="inlineStr">
        <is>
          <t>50,352nd; 2025 result negative</t>
        </is>
      </c>
      <c r="D12" s="2" t="inlineStr">
        <is>
          <t>Sourced (amount not shown)</t>
        </is>
      </c>
      <c r="E12" s="2" t="inlineStr">
        <is>
          <t>https://ranking-empresas.eleconomista.es/LABHOUSE-MOBILE.html</t>
        </is>
      </c>
    </row>
    <row r="13">
      <c r="A13" s="2" t="inlineStr">
        <is>
          <t>Company</t>
        </is>
      </c>
      <c r="B13" s="2" t="inlineStr">
        <is>
          <t>Apps</t>
        </is>
      </c>
      <c r="C13" s="2" t="inlineStr">
        <is>
          <t>Summary AI, Invoice Fly, Cleaner GO, Super Chat, Notespace</t>
        </is>
      </c>
      <c r="D13" s="2" t="inlineStr">
        <is>
          <t>Sourced</t>
        </is>
      </c>
      <c r="E13" s="2" t="inlineStr">
        <is>
          <t>Search results; 100M+ downloads is a company claim</t>
        </is>
      </c>
    </row>
    <row r="15">
      <c r="A15" s="5" t="inlineStr">
        <is>
          <t>VALUATION MODEL (estimate; inputs in blue can be edited)</t>
        </is>
      </c>
    </row>
    <row r="16">
      <c r="A16" t="inlineStr">
        <is>
          <t>Gross revenue / yr ($)</t>
        </is>
      </c>
      <c r="C16" s="6" t="n">
        <v>8400000</v>
      </c>
    </row>
    <row r="17">
      <c r="A17" t="inlineStr">
        <is>
          <t>Store fee low</t>
        </is>
      </c>
      <c r="C17" s="7" t="n">
        <v>0.15</v>
      </c>
    </row>
    <row r="18">
      <c r="A18" t="inlineStr">
        <is>
          <t>Store fee high</t>
        </is>
      </c>
      <c r="C18" s="7" t="n">
        <v>0.3</v>
      </c>
    </row>
    <row r="19">
      <c r="A19" t="inlineStr">
        <is>
          <t>Rev multiple low</t>
        </is>
      </c>
      <c r="C19" s="8" t="n">
        <v>1</v>
      </c>
    </row>
    <row r="20">
      <c r="A20" t="inlineStr">
        <is>
          <t>Rev multiple high</t>
        </is>
      </c>
      <c r="C20" s="8" t="n">
        <v>2.5</v>
      </c>
    </row>
    <row r="21">
      <c r="A21" t="inlineStr">
        <is>
          <t>EBITDA margin low</t>
        </is>
      </c>
      <c r="C21" s="7" t="n">
        <v>0.15</v>
      </c>
    </row>
    <row r="22">
      <c r="A22" t="inlineStr">
        <is>
          <t>EBITDA margin high</t>
        </is>
      </c>
      <c r="C22" s="7" t="n">
        <v>0.25</v>
      </c>
    </row>
    <row r="23">
      <c r="A23" t="inlineStr">
        <is>
          <t>EBITDA multiple low</t>
        </is>
      </c>
      <c r="C23" s="8" t="n">
        <v>3</v>
      </c>
    </row>
    <row r="24">
      <c r="A24" t="inlineStr">
        <is>
          <t>EBITDA multiple high</t>
        </is>
      </c>
      <c r="C24" s="8" t="n">
        <v>5</v>
      </c>
    </row>
    <row r="26">
      <c r="A26" t="inlineStr">
        <is>
          <t>Net revenue low</t>
        </is>
      </c>
      <c r="C26" s="9">
        <f>C16*(1-C18)</f>
        <v/>
      </c>
    </row>
    <row r="27">
      <c r="A27" t="inlineStr">
        <is>
          <t>Net revenue high</t>
        </is>
      </c>
      <c r="C27" s="9">
        <f>C16*(1-C17)</f>
        <v/>
      </c>
    </row>
    <row r="28">
      <c r="A28" t="inlineStr">
        <is>
          <t>Revenue-multiple value low</t>
        </is>
      </c>
      <c r="C28" s="9">
        <f>C26*C19</f>
        <v/>
      </c>
    </row>
    <row r="29">
      <c r="A29" t="inlineStr">
        <is>
          <t>Revenue-multiple value high</t>
        </is>
      </c>
      <c r="C29" s="9">
        <f>C27*C20</f>
        <v/>
      </c>
    </row>
    <row r="30">
      <c r="A30" t="inlineStr">
        <is>
          <t>EBITDA low</t>
        </is>
      </c>
      <c r="C30" s="9">
        <f>C26*C21</f>
        <v/>
      </c>
    </row>
    <row r="31">
      <c r="A31" t="inlineStr">
        <is>
          <t>EBITDA high</t>
        </is>
      </c>
      <c r="C31" s="9">
        <f>C27*C22</f>
        <v/>
      </c>
    </row>
    <row r="32">
      <c r="A32" t="inlineStr">
        <is>
          <t>EBITDA-multiple value low</t>
        </is>
      </c>
      <c r="C32" s="9">
        <f>C30*C23</f>
        <v/>
      </c>
    </row>
    <row r="33">
      <c r="A33" t="inlineStr">
        <is>
          <t>EBITDA-multiple value high</t>
        </is>
      </c>
      <c r="C33" s="9">
        <f>C31*C24</f>
        <v/>
      </c>
    </row>
    <row r="34">
      <c r="A34" t="inlineStr">
        <is>
          <t>Overlap range (estimate)</t>
        </is>
      </c>
      <c r="C34" s="9">
        <f>MAX(C28,C32)</f>
        <v/>
      </c>
      <c r="D34" s="9">
        <f>MIN(C29,C33)</f>
        <v/>
      </c>
    </row>
    <row r="35">
      <c r="A35" t="inlineStr">
        <is>
          <t>Not a valuation opinion: based on an unverified revenue estimate; no churn or ad-cost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n/a = not found / not verified. No values were invented.</t>
        </is>
      </c>
    </row>
    <row r="2">
      <c r="A2" t="inlineStr">
        <is>
          <t>Android links: only Summary AI's package ID (io.labhouse.audioapp) is confirmed. Google Play was unreachable from this environment.</t>
        </is>
      </c>
    </row>
    <row r="3">
      <c r="A3" t="inlineStr">
        <is>
          <t>iOS download counts are not public.</t>
        </is>
      </c>
    </row>
    <row r="4">
      <c r="A4" t="inlineStr">
        <is>
          <t>Third-party mirrors (Chrome-Stats, Marlvel, ScreensDesign) can differ from live Play data.</t>
        </is>
      </c>
    </row>
    <row r="5">
      <c r="A5" t="inlineStr">
        <is>
          <t>Round 2 rows come from roundup blogs and AppBrain pages; roundup-only apps have no verified data. Rows 14+ are unranked.</t>
        </is>
      </c>
    </row>
    <row r="6">
      <c r="A6" t="inlineStr">
        <is>
          <t>Round 3: similarity scores are my judgment vs ANotes (offline, on-device, Android, Markdown). Most offline claims are vendor marketing, unverified. Play pages could not be opened from this environment.</t>
        </is>
      </c>
    </row>
    <row r="7">
      <c r="A7" t="inlineStr">
        <is>
          <t>Permissions notes (round 4): Play Data safety pages and APK manifests could not be opened; all entries are from vendor posts, F-Droid or trackers.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2026-10-13T16:28:31Z</dcterms:created>
  <dcterms:modified xmlns:dcterms="http://purl.org/dc/terms/" xmlns:xsi="http://www.w3.org/2001/XMLSchema-instance" xsi:type="dcterms:W3CDTF">2026-10-14T08:50:59Z</dcterms:modified>
</cp:coreProperties>
</file>